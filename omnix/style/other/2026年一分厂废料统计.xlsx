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排废统计" sheetId="1" r:id="rId1"/>
    <sheet name="Sheet1" sheetId="2" r:id="rId2"/>
  </sheets>
  <definedNames>
    <definedName name="_xlnm.Print_Area" localSheetId="1">Sheet1!$A$1:$I$37</definedName>
  </definedNames>
  <calcPr calcId="144525"/>
</workbook>
</file>

<file path=xl/sharedStrings.xml><?xml version="1.0" encoding="utf-8"?>
<sst xmlns="http://schemas.openxmlformats.org/spreadsheetml/2006/main" count="33" uniqueCount="33">
  <si>
    <t>重庆一分厂废料统计</t>
  </si>
  <si>
    <t>类别</t>
  </si>
  <si>
    <t>PTA粉尘kg</t>
  </si>
  <si>
    <t>排废料kg</t>
  </si>
  <si>
    <t>废渣kg</t>
  </si>
  <si>
    <t>SSP粉尘kg</t>
  </si>
  <si>
    <t>19水粉kg</t>
  </si>
  <si>
    <t>废切片kg</t>
  </si>
  <si>
    <t>月份</t>
  </si>
  <si>
    <t>投料粉尘</t>
  </si>
  <si>
    <t>废料</t>
  </si>
  <si>
    <t>13-P02  14/15/17</t>
  </si>
  <si>
    <t>取样物</t>
  </si>
  <si>
    <t>干净粉尘</t>
  </si>
  <si>
    <t>落地粉尘</t>
  </si>
  <si>
    <t>水粉</t>
  </si>
  <si>
    <t>CP异型切片</t>
  </si>
  <si>
    <t>CP落地切片</t>
  </si>
  <si>
    <t>SSP回收切片</t>
  </si>
  <si>
    <t>SSP落地切片</t>
  </si>
  <si>
    <t>打包间落地切片</t>
  </si>
  <si>
    <t>总计：</t>
  </si>
  <si>
    <t>链板确认记录</t>
  </si>
  <si>
    <t>日期</t>
  </si>
  <si>
    <t>项目</t>
  </si>
  <si>
    <t>频率(HZ)</t>
  </si>
  <si>
    <t>故障原因</t>
  </si>
  <si>
    <t>处理措施</t>
  </si>
  <si>
    <t>检查人</t>
  </si>
  <si>
    <t>确认人</t>
  </si>
  <si>
    <t>水平段</t>
  </si>
  <si>
    <t>垂直一段</t>
  </si>
  <si>
    <t>垂直二段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</si>
</sst>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2"/>
      <name val="宋体"/>
      <charset val="134"/>
    </font>
    <font>
      <b/>
      <sz val="18"/>
      <name val="宋体"/>
      <charset val="134"/>
    </font>
    <font>
      <sz val="14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4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13" borderId="3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view="pageBreakPreview" zoomScale="115" zoomScaleNormal="100" workbookViewId="0">
      <selection activeCell="C15" sqref="C15"/>
    </sheetView>
  </sheetViews>
  <sheetFormatPr defaultColWidth="9" defaultRowHeight="14.25"/>
  <cols>
    <col min="2" max="2" width="9" style="4"/>
    <col min="3" max="3" width="11.625" style="4" customWidth="1"/>
    <col min="4" max="5" width="10.625" style="4" customWidth="1"/>
    <col min="6" max="6" width="9.375" style="4" customWidth="1"/>
    <col min="7" max="7" width="10.625" style="4" customWidth="1"/>
    <col min="8" max="8" width="9.125" style="4" customWidth="1"/>
    <col min="9" max="9" width="12" style="4" customWidth="1"/>
    <col min="10" max="10" width="10.625" style="4" customWidth="1"/>
    <col min="11" max="11" width="11" style="4" customWidth="1"/>
    <col min="12" max="12" width="10.625" style="4" customWidth="1"/>
    <col min="13" max="13" width="11.5" style="4" customWidth="1"/>
    <col min="14" max="14" width="12.125" style="4" customWidth="1"/>
    <col min="15" max="15" width="14.6666666666667" style="4" customWidth="1"/>
    <col min="16" max="16" width="10.875" style="4" customWidth="1"/>
    <col min="17" max="19" width="9" style="4"/>
  </cols>
  <sheetData>
    <row r="1" ht="24" customHeight="1" spans="1:1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9"/>
      <c r="G1" s="9"/>
      <c r="H1" s="9" t="s">
        <v>5</v>
      </c>
      <c r="I1" s="9"/>
      <c r="J1" s="8" t="s">
        <v>6</v>
      </c>
      <c r="K1" s="8" t="s">
        <v>7</v>
      </c>
      <c r="L1" s="8"/>
      <c r="M1" s="8"/>
      <c r="N1" s="8"/>
      <c r="O1" s="8"/>
    </row>
    <row r="2" ht="24" customHeight="1" spans="1:15">
      <c r="A2" s="5"/>
      <c r="B2" s="6" t="s">
        <v>8</v>
      </c>
      <c r="C2" s="6" t="s">
        <v>9</v>
      </c>
      <c r="D2" s="6" t="s">
        <v>10</v>
      </c>
      <c r="E2" s="10" t="s">
        <v>11</v>
      </c>
      <c r="F2" s="10"/>
      <c r="G2" s="10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</row>
    <row r="3" ht="24" customHeight="1" spans="1:15">
      <c r="A3" s="5"/>
      <c r="B3" s="6">
        <v>1</v>
      </c>
      <c r="C3" s="6">
        <v>793.5</v>
      </c>
      <c r="D3" s="11">
        <v>9781.5</v>
      </c>
      <c r="E3" s="12">
        <v>887</v>
      </c>
      <c r="F3" s="6">
        <v>3603.5</v>
      </c>
      <c r="G3" s="12">
        <v>440</v>
      </c>
      <c r="H3" s="6">
        <v>7179</v>
      </c>
      <c r="I3" s="12"/>
      <c r="J3" s="6">
        <v>2524.5</v>
      </c>
      <c r="K3" s="12">
        <v>7960.5</v>
      </c>
      <c r="L3" s="6">
        <v>412.5</v>
      </c>
      <c r="M3" s="12">
        <v>2074.5</v>
      </c>
      <c r="N3" s="6">
        <v>528.5</v>
      </c>
      <c r="O3" s="6">
        <v>21</v>
      </c>
    </row>
    <row r="4" ht="24" customHeight="1" spans="1:15">
      <c r="A4" s="5"/>
      <c r="B4" s="6">
        <v>2</v>
      </c>
      <c r="C4" s="6">
        <v>975.5</v>
      </c>
      <c r="D4" s="6">
        <v>7704</v>
      </c>
      <c r="E4" s="13">
        <v>790</v>
      </c>
      <c r="F4" s="6">
        <v>5595</v>
      </c>
      <c r="G4" s="13">
        <v>372</v>
      </c>
      <c r="H4" s="6">
        <v>5884</v>
      </c>
      <c r="I4" s="13"/>
      <c r="J4" s="6">
        <v>2727</v>
      </c>
      <c r="K4" s="13">
        <v>18765</v>
      </c>
      <c r="L4" s="6">
        <v>690</v>
      </c>
      <c r="M4" s="13">
        <v>413</v>
      </c>
      <c r="N4" s="6">
        <v>1408</v>
      </c>
      <c r="O4" s="6">
        <v>7.5</v>
      </c>
    </row>
    <row r="5" ht="24" customHeight="1" spans="1:15">
      <c r="A5" s="5"/>
      <c r="B5" s="6">
        <v>3</v>
      </c>
      <c r="C5" s="6">
        <v>980.5</v>
      </c>
      <c r="D5" s="6">
        <v>1702.5</v>
      </c>
      <c r="E5" s="13">
        <v>1079</v>
      </c>
      <c r="F5" s="6">
        <v>4916.1</v>
      </c>
      <c r="G5" s="13">
        <v>342</v>
      </c>
      <c r="H5" s="6">
        <v>4691.8</v>
      </c>
      <c r="I5" s="13"/>
      <c r="J5" s="6">
        <v>2935.3</v>
      </c>
      <c r="K5" s="13">
        <v>11718.5</v>
      </c>
      <c r="L5" s="6">
        <v>1031.5</v>
      </c>
      <c r="M5" s="13">
        <v>2554.7</v>
      </c>
      <c r="N5" s="6">
        <v>620.5</v>
      </c>
      <c r="O5" s="6">
        <v>28</v>
      </c>
    </row>
    <row r="6" ht="24" customHeight="1" spans="1:15">
      <c r="A6" s="5"/>
      <c r="B6" s="6">
        <v>4</v>
      </c>
      <c r="C6" s="6">
        <v>935</v>
      </c>
      <c r="D6" s="6">
        <v>5699</v>
      </c>
      <c r="E6" s="13">
        <v>1453</v>
      </c>
      <c r="F6" s="6">
        <v>3188.5</v>
      </c>
      <c r="G6" s="13">
        <v>321.5</v>
      </c>
      <c r="H6" s="6">
        <v>2887.5</v>
      </c>
      <c r="I6" s="13"/>
      <c r="J6" s="6">
        <v>2757</v>
      </c>
      <c r="K6" s="13">
        <v>2133.5</v>
      </c>
      <c r="L6" s="6"/>
      <c r="M6" s="13">
        <v>1096</v>
      </c>
      <c r="N6" s="6"/>
      <c r="O6" s="6">
        <v>4.8</v>
      </c>
    </row>
    <row r="7" ht="24" customHeight="1" spans="1:15">
      <c r="A7" s="5"/>
      <c r="B7" s="6">
        <v>5</v>
      </c>
      <c r="C7" s="6">
        <v>1114.5</v>
      </c>
      <c r="D7" s="6">
        <v>7314.5</v>
      </c>
      <c r="E7" s="13">
        <v>1135</v>
      </c>
      <c r="F7" s="6">
        <v>3645</v>
      </c>
      <c r="G7" s="13">
        <v>497.5</v>
      </c>
      <c r="H7" s="6">
        <v>694</v>
      </c>
      <c r="I7" s="13"/>
      <c r="J7" s="6">
        <v>2961</v>
      </c>
      <c r="K7" s="13">
        <v>1266</v>
      </c>
      <c r="L7" s="6">
        <v>326</v>
      </c>
      <c r="M7" s="13">
        <v>1098.5</v>
      </c>
      <c r="N7" s="6">
        <v>239</v>
      </c>
      <c r="O7" s="6">
        <v>2.8</v>
      </c>
    </row>
    <row r="8" ht="24" customHeight="1" spans="1:15">
      <c r="A8" s="5"/>
      <c r="B8" s="6">
        <v>6</v>
      </c>
      <c r="C8" s="6">
        <v>1136</v>
      </c>
      <c r="D8" s="6">
        <v>8717</v>
      </c>
      <c r="E8" s="13">
        <v>1105</v>
      </c>
      <c r="F8" s="6">
        <v>5624</v>
      </c>
      <c r="G8" s="13">
        <v>1013.5</v>
      </c>
      <c r="H8" s="6">
        <v>620</v>
      </c>
      <c r="I8" s="13"/>
      <c r="J8" s="6">
        <v>2458</v>
      </c>
      <c r="K8" s="13">
        <v>1230</v>
      </c>
      <c r="L8" s="6">
        <v>523</v>
      </c>
      <c r="M8" s="13"/>
      <c r="N8" s="6">
        <v>1350</v>
      </c>
      <c r="O8" s="6">
        <v>8.7</v>
      </c>
    </row>
    <row r="9" ht="24" customHeight="1" spans="1:15">
      <c r="A9" s="5"/>
      <c r="B9" s="6">
        <v>7</v>
      </c>
      <c r="C9" s="6">
        <v>1527</v>
      </c>
      <c r="D9" s="6">
        <v>3579</v>
      </c>
      <c r="E9" s="13">
        <v>1221</v>
      </c>
      <c r="F9" s="6">
        <v>5061</v>
      </c>
      <c r="G9" s="13">
        <v>682</v>
      </c>
      <c r="H9" s="6"/>
      <c r="I9" s="13">
        <v>91</v>
      </c>
      <c r="J9" s="6">
        <v>2734</v>
      </c>
      <c r="K9" s="13">
        <v>1092</v>
      </c>
      <c r="L9" s="6">
        <v>207</v>
      </c>
      <c r="M9" s="13"/>
      <c r="N9" s="6">
        <v>637.5</v>
      </c>
      <c r="O9" s="6">
        <v>3.5</v>
      </c>
    </row>
    <row r="10" ht="24" customHeight="1" spans="1:15">
      <c r="A10" s="5"/>
      <c r="B10" s="6">
        <v>8</v>
      </c>
      <c r="C10" s="6">
        <v>937.9</v>
      </c>
      <c r="D10" s="6">
        <v>10995</v>
      </c>
      <c r="E10" s="13">
        <v>977</v>
      </c>
      <c r="F10" s="6">
        <v>4840.5</v>
      </c>
      <c r="G10" s="13">
        <v>687</v>
      </c>
      <c r="H10" s="6"/>
      <c r="I10" s="13">
        <v>204.5</v>
      </c>
      <c r="J10" s="6">
        <v>2642</v>
      </c>
      <c r="K10" s="13">
        <v>2747</v>
      </c>
      <c r="L10" s="6">
        <v>3233</v>
      </c>
      <c r="M10" s="13">
        <v>682.25</v>
      </c>
      <c r="N10" s="6">
        <v>17402.5</v>
      </c>
      <c r="O10" s="6">
        <v>11.2</v>
      </c>
    </row>
    <row r="11" ht="24" customHeight="1" spans="1:15">
      <c r="A11" s="5"/>
      <c r="B11" s="6">
        <v>9</v>
      </c>
      <c r="C11" s="6">
        <v>1024.5</v>
      </c>
      <c r="D11" s="6">
        <v>8286.5</v>
      </c>
      <c r="E11" s="13">
        <v>399</v>
      </c>
      <c r="F11" s="6">
        <v>4904</v>
      </c>
      <c r="G11" s="13">
        <v>683</v>
      </c>
      <c r="H11" s="6"/>
      <c r="I11" s="13"/>
      <c r="J11" s="6">
        <v>1381</v>
      </c>
      <c r="K11" s="13"/>
      <c r="L11" s="6"/>
      <c r="M11" s="13">
        <v>2022</v>
      </c>
      <c r="N11" s="6">
        <v>1477.5</v>
      </c>
      <c r="O11" s="6">
        <v>5</v>
      </c>
    </row>
    <row r="12" ht="24" customHeight="1" spans="1:15">
      <c r="A12" s="5"/>
      <c r="B12" s="6">
        <v>10</v>
      </c>
      <c r="C12" s="6">
        <v>524</v>
      </c>
      <c r="D12" s="6">
        <v>4587.5</v>
      </c>
      <c r="E12" s="13">
        <v>541</v>
      </c>
      <c r="F12" s="6">
        <v>4598</v>
      </c>
      <c r="G12" s="13">
        <v>128</v>
      </c>
      <c r="H12" s="6"/>
      <c r="I12" s="13"/>
      <c r="J12" s="6">
        <v>1210</v>
      </c>
      <c r="K12" s="13">
        <v>730</v>
      </c>
      <c r="L12" s="6">
        <v>509</v>
      </c>
      <c r="M12" s="13">
        <v>715</v>
      </c>
      <c r="N12" s="6"/>
      <c r="O12" s="6">
        <v>5.2</v>
      </c>
    </row>
    <row r="13" ht="24" customHeight="1" spans="1:15">
      <c r="A13" s="5"/>
      <c r="B13" s="6">
        <v>11</v>
      </c>
      <c r="C13" s="6">
        <v>1974.5</v>
      </c>
      <c r="D13" s="6">
        <f>1107.65+2738.6</f>
        <v>3846.25</v>
      </c>
      <c r="E13" s="13">
        <v>537</v>
      </c>
      <c r="F13" s="6">
        <v>2613.1</v>
      </c>
      <c r="G13" s="13">
        <v>723.4</v>
      </c>
      <c r="H13" s="6"/>
      <c r="I13" s="13"/>
      <c r="J13" s="6">
        <v>1205</v>
      </c>
      <c r="K13" s="13"/>
      <c r="L13" s="6">
        <v>746.5</v>
      </c>
      <c r="M13" s="13">
        <v>655</v>
      </c>
      <c r="N13" s="6">
        <v>2225.5</v>
      </c>
      <c r="O13" s="6">
        <v>12.2</v>
      </c>
    </row>
    <row r="14" ht="24" customHeight="1" spans="1:15">
      <c r="A14" s="5"/>
      <c r="B14" s="6">
        <v>12</v>
      </c>
      <c r="C14" s="6">
        <v>2547.5</v>
      </c>
      <c r="D14" s="6">
        <v>3365</v>
      </c>
      <c r="E14" s="13">
        <v>510</v>
      </c>
      <c r="F14" s="6">
        <v>5561</v>
      </c>
      <c r="G14" s="13">
        <v>643</v>
      </c>
      <c r="H14" s="6"/>
      <c r="I14" s="13">
        <v>1782</v>
      </c>
      <c r="J14" s="6">
        <v>1207</v>
      </c>
      <c r="K14" s="13"/>
      <c r="L14" s="6">
        <v>974</v>
      </c>
      <c r="M14" s="13">
        <v>1208</v>
      </c>
      <c r="N14" s="6">
        <v>653</v>
      </c>
      <c r="O14" s="6">
        <v>12.3</v>
      </c>
    </row>
    <row r="15" ht="24" customHeight="1" spans="1:15">
      <c r="A15" s="5"/>
      <c r="B15" s="6"/>
      <c r="C15" s="6">
        <f>SUM(C3:C14)</f>
        <v>14470.4</v>
      </c>
      <c r="D15" s="6">
        <f>SUM(D3:D14)</f>
        <v>75577.75</v>
      </c>
      <c r="E15" s="6">
        <f t="shared" ref="E15:O15" si="0">SUM(E3:E14)</f>
        <v>10634</v>
      </c>
      <c r="F15" s="6">
        <f t="shared" si="0"/>
        <v>54149.7</v>
      </c>
      <c r="G15" s="6">
        <f t="shared" si="0"/>
        <v>6532.9</v>
      </c>
      <c r="H15" s="6">
        <f t="shared" si="0"/>
        <v>21956.3</v>
      </c>
      <c r="I15" s="6">
        <f t="shared" si="0"/>
        <v>2077.5</v>
      </c>
      <c r="J15" s="6">
        <f t="shared" si="0"/>
        <v>26741.8</v>
      </c>
      <c r="K15" s="6">
        <f t="shared" si="0"/>
        <v>47642.5</v>
      </c>
      <c r="L15" s="6">
        <f t="shared" si="0"/>
        <v>8652.5</v>
      </c>
      <c r="M15" s="6">
        <f t="shared" si="0"/>
        <v>12518.95</v>
      </c>
      <c r="N15" s="6">
        <f t="shared" si="0"/>
        <v>26542</v>
      </c>
      <c r="O15" s="6">
        <f t="shared" si="0"/>
        <v>122.2</v>
      </c>
    </row>
    <row r="16" spans="1:15">
      <c r="A16" s="5"/>
      <c r="B16" s="6" t="s">
        <v>21</v>
      </c>
      <c r="C16" s="6"/>
      <c r="D16" s="6">
        <f>(C15+D15+E15+F15+G15+H15+I15+J15+K15+L15+M15+N15+O15)/1000</f>
        <v>307.6185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3"/>
      <c r="B17" s="6"/>
      <c r="C17" s="6"/>
      <c r="D17" s="13"/>
      <c r="E17" s="13"/>
      <c r="F17" s="13"/>
      <c r="G17" s="6"/>
      <c r="H17" s="6"/>
      <c r="I17" s="10"/>
      <c r="J17" s="6"/>
      <c r="K17" s="6"/>
      <c r="L17" s="6"/>
      <c r="M17" s="6"/>
      <c r="N17" s="6"/>
      <c r="O17" s="6"/>
    </row>
    <row r="18" ht="24" customHeight="1" spans="1:1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ht="24" customHeight="1" spans="1:1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ht="24" customHeight="1" spans="1:1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ht="24" customHeight="1" spans="1:1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ht="24" customHeight="1" spans="1:1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1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</row>
  </sheetData>
  <mergeCells count="7">
    <mergeCell ref="E1:G1"/>
    <mergeCell ref="H1:I1"/>
    <mergeCell ref="K1:O1"/>
    <mergeCell ref="E2:F2"/>
    <mergeCell ref="D16:O16"/>
    <mergeCell ref="A1:A16"/>
    <mergeCell ref="A18:O22"/>
  </mergeCells>
  <conditionalFormatting sqref="J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{26bf37a8-6082-4e88-ab72-8b9f61b5421f}</x14:id>
        </ext>
      </extLst>
    </cfRule>
  </conditionalFormatting>
  <conditionalFormatting sqref="G17:H1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{8a2e5096-08c6-4f8f-9a41-6b4fdbe860e3}</x14:id>
        </ext>
      </extLst>
    </cfRule>
  </conditionalFormatting>
  <conditionalFormatting sqref="I1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{f72a05d4-dea9-41a4-b86b-d7296068b9ed}</x14:id>
        </ext>
      </extLst>
    </cfRule>
  </conditionalFormatting>
  <conditionalFormatting sqref="K17:O17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{cc759549-f4b0-4a19-b7a8-c28df47a51b1}</x14:id>
        </ext>
      </extLst>
    </cfRule>
  </conditionalFormatting>
  <conditionalFormatting sqref="A18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{a2ac6d53-6cdc-4426-95f8-1a4be8292da0}</x14:id>
        </ext>
      </extLst>
    </cfRule>
  </conditionalFormatting>
  <conditionalFormatting sqref="E2:E14 M3:M14 K3:K14 I3:I14 G3:G14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{17411f7f-6269-4b7a-9030-a2f6f9e49027}</x14:id>
        </ext>
      </extLst>
    </cfRule>
  </conditionalFormatting>
  <conditionalFormatting sqref="D3:O1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{2c4c3ad6-1e95-48ae-9c41-3c5891f735e1}</x14:id>
        </ext>
      </extLst>
    </cfRule>
  </conditionalFormatting>
  <conditionalFormatting sqref="E17:F17 D16:D1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{a0a21c73-e2da-43cc-8c76-c256aef78d82}</x14:id>
        </ext>
      </extLst>
    </cfRule>
  </conditionalFormatting>
  <pageMargins left="0.75" right="0.75" top="1" bottom="1" header="0.511805555555556" footer="0.511805555555556"/>
  <pageSetup paperSize="9" scale="75" orientation="landscape"/>
  <headerFooter alignWithMargins="0" scaleWithDoc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bf37a8-6082-4e88-ab72-8b9f61b542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8a2e5096-08c6-4f8f-9a41-6b4fdbe860e3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G17:H17</xm:sqref>
        </x14:conditionalFormatting>
        <x14:conditionalFormatting xmlns:xm="http://schemas.microsoft.com/office/excel/2006/main">
          <x14:cfRule type="dataBar" id="{f72a05d4-dea9-41a4-b86b-d7296068b9e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I17</xm:sqref>
        </x14:conditionalFormatting>
        <x14:conditionalFormatting xmlns:xm="http://schemas.microsoft.com/office/excel/2006/main">
          <x14:cfRule type="dataBar" id="{cc759549-f4b0-4a19-b7a8-c28df47a51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K17:O17</xm:sqref>
        </x14:conditionalFormatting>
        <x14:conditionalFormatting xmlns:xm="http://schemas.microsoft.com/office/excel/2006/main">
          <x14:cfRule type="dataBar" id="{a2ac6d53-6cdc-4426-95f8-1a4be8292da0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A18</xm:sqref>
        </x14:conditionalFormatting>
        <x14:conditionalFormatting xmlns:xm="http://schemas.microsoft.com/office/excel/2006/main">
          <x14:cfRule type="dataBar" id="{17411f7f-6269-4b7a-9030-a2f6f9e490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E2:E14 M3:M14 K3:K14 I3:I14 G3:G14</xm:sqref>
        </x14:conditionalFormatting>
        <x14:conditionalFormatting xmlns:xm="http://schemas.microsoft.com/office/excel/2006/main">
          <x14:cfRule type="dataBar" id="{2c4c3ad6-1e95-48ae-9c41-3c5891f735e1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D3:O15</xm:sqref>
        </x14:conditionalFormatting>
        <x14:conditionalFormatting xmlns:xm="http://schemas.microsoft.com/office/excel/2006/main">
          <x14:cfRule type="dataBar" id="{a0a21c73-e2da-43cc-8c76-c256aef78d82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E17:F17 D16:D17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view="pageBreakPreview" zoomScale="130" zoomScaleNormal="100" topLeftCell="A6" workbookViewId="0">
      <selection activeCell="A1" sqref="A1:I2"/>
    </sheetView>
  </sheetViews>
  <sheetFormatPr defaultColWidth="9" defaultRowHeight="14.25"/>
  <cols>
    <col min="1" max="1" width="8.94166666666667" customWidth="1"/>
    <col min="2" max="2" width="9.50833333333333" customWidth="1"/>
    <col min="3" max="5" width="10.0083333333333" customWidth="1"/>
    <col min="6" max="6" width="13.175" customWidth="1"/>
    <col min="7" max="7" width="13.0666666666667" customWidth="1"/>
    <col min="8" max="9" width="8.625" customWidth="1"/>
  </cols>
  <sheetData>
    <row r="1" spans="1:9">
      <c r="A1" s="1" t="s">
        <v>22</v>
      </c>
      <c r="B1" s="1"/>
      <c r="C1" s="1"/>
      <c r="D1" s="1"/>
      <c r="E1" s="1"/>
      <c r="F1" s="1"/>
      <c r="G1" s="1"/>
      <c r="H1" s="1"/>
      <c r="I1" s="1"/>
    </row>
    <row r="2" ht="38" customHeight="1" spans="1:9">
      <c r="A2" s="1"/>
      <c r="B2" s="1"/>
      <c r="C2" s="1"/>
      <c r="D2" s="1"/>
      <c r="E2" s="1"/>
      <c r="F2" s="1"/>
      <c r="G2" s="1"/>
      <c r="H2" s="1"/>
      <c r="I2" s="1"/>
    </row>
    <row r="3" ht="18.75" spans="1:9">
      <c r="A3" s="2" t="s">
        <v>23</v>
      </c>
      <c r="B3" s="2" t="s">
        <v>24</v>
      </c>
      <c r="C3" s="2" t="s">
        <v>25</v>
      </c>
      <c r="D3" s="2"/>
      <c r="E3" s="2"/>
      <c r="F3" s="2" t="s">
        <v>26</v>
      </c>
      <c r="G3" s="2" t="s">
        <v>27</v>
      </c>
      <c r="H3" s="2" t="s">
        <v>28</v>
      </c>
      <c r="I3" s="2" t="s">
        <v>29</v>
      </c>
    </row>
    <row r="4" ht="18.75" spans="1:9">
      <c r="A4" s="2"/>
      <c r="B4" s="2"/>
      <c r="C4" s="2" t="s">
        <v>30</v>
      </c>
      <c r="D4" s="2" t="s">
        <v>31</v>
      </c>
      <c r="E4" s="2" t="s">
        <v>32</v>
      </c>
      <c r="F4" s="2"/>
      <c r="G4" s="2"/>
      <c r="H4" s="2"/>
      <c r="I4" s="2"/>
    </row>
    <row r="5" ht="20" customHeight="1" spans="1:9">
      <c r="A5" s="3"/>
      <c r="B5" s="3"/>
      <c r="C5" s="3"/>
      <c r="D5" s="3"/>
      <c r="E5" s="3"/>
      <c r="F5" s="3"/>
      <c r="G5" s="3"/>
      <c r="H5" s="3"/>
      <c r="I5" s="3"/>
    </row>
    <row r="6" ht="20" customHeight="1" spans="1:9">
      <c r="A6" s="3"/>
      <c r="B6" s="3"/>
      <c r="C6" s="3"/>
      <c r="D6" s="3"/>
      <c r="E6" s="3"/>
      <c r="F6" s="3"/>
      <c r="G6" s="3"/>
      <c r="H6" s="3"/>
      <c r="I6" s="3"/>
    </row>
    <row r="7" ht="20" customHeight="1" spans="1:9">
      <c r="A7" s="3"/>
      <c r="B7" s="3"/>
      <c r="C7" s="3"/>
      <c r="D7" s="3"/>
      <c r="E7" s="3"/>
      <c r="F7" s="3"/>
      <c r="G7" s="3"/>
      <c r="H7" s="3"/>
      <c r="I7" s="3"/>
    </row>
    <row r="8" ht="20" customHeight="1" spans="1:9">
      <c r="A8" s="3"/>
      <c r="B8" s="3"/>
      <c r="C8" s="3"/>
      <c r="D8" s="3"/>
      <c r="E8" s="3"/>
      <c r="F8" s="3"/>
      <c r="G8" s="3"/>
      <c r="H8" s="3"/>
      <c r="I8" s="3"/>
    </row>
    <row r="9" ht="20" customHeight="1" spans="1:9">
      <c r="A9" s="3"/>
      <c r="B9" s="3"/>
      <c r="C9" s="3"/>
      <c r="D9" s="3"/>
      <c r="E9" s="3"/>
      <c r="F9" s="3"/>
      <c r="G9" s="3"/>
      <c r="H9" s="3"/>
      <c r="I9" s="3"/>
    </row>
    <row r="10" ht="20" customHeight="1" spans="1:9">
      <c r="A10" s="3"/>
      <c r="B10" s="3"/>
      <c r="C10" s="3"/>
      <c r="D10" s="3"/>
      <c r="E10" s="3"/>
      <c r="F10" s="3"/>
      <c r="G10" s="3"/>
      <c r="H10" s="3"/>
      <c r="I10" s="3"/>
    </row>
    <row r="11" ht="20" customHeight="1" spans="1:9">
      <c r="A11" s="3"/>
      <c r="B11" s="3"/>
      <c r="C11" s="3"/>
      <c r="D11" s="3"/>
      <c r="E11" s="3"/>
      <c r="F11" s="3"/>
      <c r="G11" s="3"/>
      <c r="H11" s="3"/>
      <c r="I11" s="3"/>
    </row>
    <row r="12" ht="20" customHeight="1" spans="1:9">
      <c r="A12" s="3"/>
      <c r="B12" s="3"/>
      <c r="C12" s="3"/>
      <c r="D12" s="3"/>
      <c r="E12" s="3"/>
      <c r="F12" s="3"/>
      <c r="G12" s="3"/>
      <c r="H12" s="3"/>
      <c r="I12" s="3"/>
    </row>
    <row r="13" ht="20" customHeight="1" spans="1:9">
      <c r="A13" s="3"/>
      <c r="B13" s="3"/>
      <c r="C13" s="3"/>
      <c r="D13" s="3"/>
      <c r="E13" s="3"/>
      <c r="F13" s="3"/>
      <c r="G13" s="3"/>
      <c r="H13" s="3"/>
      <c r="I13" s="3"/>
    </row>
    <row r="14" ht="20" customHeight="1" spans="1:9">
      <c r="A14" s="3"/>
      <c r="B14" s="3"/>
      <c r="C14" s="3"/>
      <c r="D14" s="3"/>
      <c r="E14" s="3"/>
      <c r="F14" s="3"/>
      <c r="G14" s="3"/>
      <c r="H14" s="3"/>
      <c r="I14" s="3"/>
    </row>
    <row r="15" ht="20" customHeight="1" spans="1:9">
      <c r="A15" s="3"/>
      <c r="B15" s="3"/>
      <c r="C15" s="3"/>
      <c r="D15" s="3"/>
      <c r="E15" s="3"/>
      <c r="F15" s="3"/>
      <c r="G15" s="3"/>
      <c r="H15" s="3"/>
      <c r="I15" s="3"/>
    </row>
    <row r="16" ht="20" customHeight="1" spans="1:9">
      <c r="A16" s="3"/>
      <c r="B16" s="3"/>
      <c r="C16" s="3"/>
      <c r="D16" s="3"/>
      <c r="E16" s="3"/>
      <c r="F16" s="3"/>
      <c r="G16" s="3"/>
      <c r="H16" s="3"/>
      <c r="I16" s="3"/>
    </row>
    <row r="17" ht="20" customHeight="1" spans="1:9">
      <c r="A17" s="3"/>
      <c r="B17" s="3"/>
      <c r="C17" s="3"/>
      <c r="D17" s="3"/>
      <c r="E17" s="3"/>
      <c r="F17" s="3"/>
      <c r="G17" s="3"/>
      <c r="H17" s="3"/>
      <c r="I17" s="3"/>
    </row>
    <row r="18" ht="20" customHeight="1" spans="1:9">
      <c r="A18" s="3"/>
      <c r="B18" s="3"/>
      <c r="C18" s="3"/>
      <c r="D18" s="3"/>
      <c r="E18" s="3"/>
      <c r="F18" s="3"/>
      <c r="G18" s="3"/>
      <c r="H18" s="3"/>
      <c r="I18" s="3"/>
    </row>
    <row r="19" ht="20" customHeight="1" spans="1:9">
      <c r="A19" s="3"/>
      <c r="B19" s="3"/>
      <c r="C19" s="3"/>
      <c r="D19" s="3"/>
      <c r="E19" s="3"/>
      <c r="F19" s="3"/>
      <c r="G19" s="3"/>
      <c r="H19" s="3"/>
      <c r="I19" s="3"/>
    </row>
    <row r="20" ht="20" customHeight="1" spans="1:9">
      <c r="A20" s="3"/>
      <c r="B20" s="3"/>
      <c r="C20" s="3"/>
      <c r="D20" s="3"/>
      <c r="E20" s="3"/>
      <c r="F20" s="3"/>
      <c r="G20" s="3"/>
      <c r="H20" s="3"/>
      <c r="I20" s="3"/>
    </row>
    <row r="21" ht="20" customHeight="1" spans="1:9">
      <c r="A21" s="3"/>
      <c r="B21" s="3"/>
      <c r="C21" s="3"/>
      <c r="D21" s="3"/>
      <c r="E21" s="3"/>
      <c r="F21" s="3"/>
      <c r="G21" s="3"/>
      <c r="H21" s="3"/>
      <c r="I21" s="3"/>
    </row>
    <row r="22" ht="20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20" customHeight="1" spans="1:9">
      <c r="A23" s="3"/>
      <c r="B23" s="3"/>
      <c r="C23" s="3"/>
      <c r="D23" s="3"/>
      <c r="E23" s="3"/>
      <c r="F23" s="3"/>
      <c r="G23" s="3"/>
      <c r="H23" s="3"/>
      <c r="I23" s="3"/>
    </row>
    <row r="24" ht="20" customHeight="1" spans="1:9">
      <c r="A24" s="3"/>
      <c r="B24" s="3"/>
      <c r="C24" s="3"/>
      <c r="D24" s="3"/>
      <c r="E24" s="3"/>
      <c r="F24" s="3"/>
      <c r="G24" s="3"/>
      <c r="H24" s="3"/>
      <c r="I24" s="3"/>
    </row>
    <row r="25" ht="20" customHeight="1" spans="1:9">
      <c r="A25" s="3"/>
      <c r="B25" s="3"/>
      <c r="C25" s="3"/>
      <c r="D25" s="3"/>
      <c r="E25" s="3"/>
      <c r="F25" s="3"/>
      <c r="G25" s="3"/>
      <c r="H25" s="3"/>
      <c r="I25" s="3"/>
    </row>
    <row r="26" ht="20" customHeight="1" spans="1:9">
      <c r="A26" s="3"/>
      <c r="B26" s="3"/>
      <c r="C26" s="3"/>
      <c r="D26" s="3"/>
      <c r="E26" s="3"/>
      <c r="F26" s="3"/>
      <c r="G26" s="3"/>
      <c r="H26" s="3"/>
      <c r="I26" s="3"/>
    </row>
    <row r="27" ht="20" customHeight="1" spans="1:9">
      <c r="A27" s="3"/>
      <c r="B27" s="3"/>
      <c r="C27" s="3"/>
      <c r="D27" s="3"/>
      <c r="E27" s="3"/>
      <c r="F27" s="3"/>
      <c r="G27" s="3"/>
      <c r="H27" s="3"/>
      <c r="I27" s="3"/>
    </row>
    <row r="28" ht="20" customHeight="1" spans="1:9">
      <c r="A28" s="3"/>
      <c r="B28" s="3"/>
      <c r="C28" s="3"/>
      <c r="D28" s="3"/>
      <c r="E28" s="3"/>
      <c r="F28" s="3"/>
      <c r="G28" s="3"/>
      <c r="H28" s="3"/>
      <c r="I28" s="3"/>
    </row>
    <row r="29" ht="20" customHeight="1" spans="1:9">
      <c r="A29" s="3"/>
      <c r="B29" s="3"/>
      <c r="C29" s="3"/>
      <c r="D29" s="3"/>
      <c r="E29" s="3"/>
      <c r="F29" s="3"/>
      <c r="G29" s="3"/>
      <c r="H29" s="3"/>
      <c r="I29" s="3"/>
    </row>
    <row r="30" ht="20" customHeight="1" spans="1:9">
      <c r="A30" s="3"/>
      <c r="B30" s="3"/>
      <c r="C30" s="3"/>
      <c r="D30" s="3"/>
      <c r="E30" s="3"/>
      <c r="F30" s="3"/>
      <c r="G30" s="3"/>
      <c r="H30" s="3"/>
      <c r="I30" s="3"/>
    </row>
    <row r="31" ht="20" customHeight="1" spans="1:9">
      <c r="A31" s="3"/>
      <c r="B31" s="3"/>
      <c r="C31" s="3"/>
      <c r="D31" s="3"/>
      <c r="E31" s="3"/>
      <c r="F31" s="3"/>
      <c r="G31" s="3"/>
      <c r="H31" s="3"/>
      <c r="I31" s="3"/>
    </row>
    <row r="32" ht="20" customHeight="1" spans="1:9">
      <c r="A32" s="3"/>
      <c r="B32" s="3"/>
      <c r="C32" s="3"/>
      <c r="D32" s="3"/>
      <c r="E32" s="3"/>
      <c r="F32" s="3"/>
      <c r="G32" s="3"/>
      <c r="H32" s="3"/>
      <c r="I32" s="3"/>
    </row>
    <row r="33" ht="20" customHeight="1" spans="1:9">
      <c r="A33" s="3"/>
      <c r="B33" s="3"/>
      <c r="C33" s="3"/>
      <c r="D33" s="3"/>
      <c r="E33" s="3"/>
      <c r="F33" s="3"/>
      <c r="G33" s="3"/>
      <c r="H33" s="3"/>
      <c r="I33" s="3"/>
    </row>
    <row r="34" ht="20" customHeight="1" spans="1:9">
      <c r="A34" s="3"/>
      <c r="B34" s="3"/>
      <c r="C34" s="3"/>
      <c r="D34" s="3"/>
      <c r="E34" s="3"/>
      <c r="F34" s="3"/>
      <c r="G34" s="3"/>
      <c r="H34" s="3"/>
      <c r="I34" s="3"/>
    </row>
    <row r="35" ht="20" customHeight="1" spans="1:9">
      <c r="A35" s="3"/>
      <c r="B35" s="3"/>
      <c r="C35" s="3"/>
      <c r="D35" s="3"/>
      <c r="E35" s="3"/>
      <c r="F35" s="3"/>
      <c r="G35" s="3"/>
      <c r="H35" s="3"/>
      <c r="I35" s="3"/>
    </row>
    <row r="36" ht="20" customHeight="1" spans="1:9">
      <c r="A36" s="3"/>
      <c r="B36" s="3"/>
      <c r="C36" s="3"/>
      <c r="D36" s="3"/>
      <c r="E36" s="3"/>
      <c r="F36" s="3"/>
      <c r="G36" s="3"/>
      <c r="H36" s="3"/>
      <c r="I36" s="3"/>
    </row>
    <row r="37" ht="20" customHeight="1" spans="1:9">
      <c r="A37" s="3"/>
      <c r="B37" s="3"/>
      <c r="C37" s="3"/>
      <c r="D37" s="3"/>
      <c r="E37" s="3"/>
      <c r="F37" s="3"/>
      <c r="G37" s="3"/>
      <c r="H37" s="3"/>
      <c r="I37" s="3"/>
    </row>
  </sheetData>
  <mergeCells count="8">
    <mergeCell ref="C3:E3"/>
    <mergeCell ref="A3:A4"/>
    <mergeCell ref="B3:B4"/>
    <mergeCell ref="F3:F4"/>
    <mergeCell ref="G3:G4"/>
    <mergeCell ref="H3:H4"/>
    <mergeCell ref="I3:I4"/>
    <mergeCell ref="A1:I2"/>
  </mergeCells>
  <printOptions horizontalCentered="1" verticalCentered="1"/>
  <pageMargins left="0" right="0" top="0" bottom="0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排废统计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51182</dc:creator>
  <cp:lastModifiedBy>秋洛羽</cp:lastModifiedBy>
  <dcterms:created xsi:type="dcterms:W3CDTF">2020-07-09T06:28:00Z</dcterms:created>
  <dcterms:modified xsi:type="dcterms:W3CDTF">2023-06-16T01:14:03Z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KSOReadingLayout">
    <vt:bool>false</vt:bool>
  </property>
  <property fmtid="{D5CDD505-2E9C-101B-9397-08002B2CF9AE}" pid="4" name="ICV">
    <vt:lpwstr>CF029B763C714231A9A4EBDE31756372</vt:lpwstr>
  </property>
</Properties>
</file>